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ojects\Trial\"/>
    </mc:Choice>
  </mc:AlternateContent>
  <xr:revisionPtr revIDLastSave="0" documentId="13_ncr:1_{D886BA51-9A32-413E-B6AB-F2500B3314FC}" xr6:coauthVersionLast="47" xr6:coauthVersionMax="47" xr10:uidLastSave="{00000000-0000-0000-0000-000000000000}"/>
  <bookViews>
    <workbookView xWindow="-108" yWindow="-108" windowWidth="23256" windowHeight="12456" tabRatio="793" xr2:uid="{AC98A119-D858-482B-A5EF-0B5ED2FCCB6C}"/>
  </bookViews>
  <sheets>
    <sheet name="Cost.Cal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5" l="1"/>
  <c r="L7" i="5"/>
  <c r="H7" i="5"/>
  <c r="L11" i="5"/>
  <c r="J11" i="5"/>
  <c r="L15" i="5"/>
  <c r="J15" i="5"/>
  <c r="H15" i="5"/>
  <c r="F15" i="5"/>
  <c r="D15" i="5"/>
  <c r="B15" i="5"/>
  <c r="H11" i="5"/>
  <c r="F11" i="5"/>
  <c r="D11" i="5"/>
  <c r="B11" i="5"/>
  <c r="L6" i="5"/>
  <c r="J6" i="5"/>
  <c r="H6" i="5"/>
  <c r="F6" i="5"/>
  <c r="D6" i="5"/>
  <c r="B6" i="5"/>
  <c r="L3" i="5"/>
  <c r="L5" i="5" s="1"/>
  <c r="J3" i="5"/>
  <c r="J5" i="5" s="1"/>
  <c r="H3" i="5"/>
  <c r="F3" i="5"/>
  <c r="F5" i="5" s="1"/>
  <c r="D3" i="5"/>
  <c r="D5" i="5" s="1"/>
  <c r="B3" i="5"/>
  <c r="B5" i="5" s="1"/>
  <c r="H5" i="5" l="1"/>
  <c r="H8" i="5" s="1"/>
  <c r="H10" i="5" s="1"/>
  <c r="H12" i="5" s="1"/>
  <c r="H14" i="5" s="1"/>
  <c r="H17" i="5" s="1"/>
  <c r="B8" i="5"/>
  <c r="B10" i="5" s="1"/>
  <c r="B12" i="5" s="1"/>
  <c r="B14" i="5" s="1"/>
  <c r="B17" i="5" s="1"/>
  <c r="L8" i="5"/>
  <c r="L10" i="5" s="1"/>
  <c r="L12" i="5" s="1"/>
  <c r="L14" i="5" s="1"/>
  <c r="L19" i="5" s="1"/>
  <c r="J8" i="5"/>
  <c r="J10" i="5" s="1"/>
  <c r="J12" i="5" s="1"/>
  <c r="J14" i="5" s="1"/>
  <c r="F8" i="5"/>
  <c r="F10" i="5" s="1"/>
  <c r="F12" i="5" s="1"/>
  <c r="F14" i="5" s="1"/>
  <c r="D8" i="5"/>
  <c r="D10" i="5" s="1"/>
  <c r="D12" i="5" s="1"/>
  <c r="D14" i="5" s="1"/>
  <c r="L23" i="5" l="1"/>
  <c r="D21" i="5"/>
  <c r="B19" i="5"/>
  <c r="L17" i="5"/>
  <c r="H19" i="5"/>
  <c r="D19" i="5"/>
  <c r="J17" i="5"/>
  <c r="D25" i="5"/>
  <c r="D23" i="5"/>
  <c r="L25" i="5"/>
  <c r="H25" i="5"/>
  <c r="D17" i="5"/>
  <c r="H23" i="5"/>
  <c r="J19" i="5"/>
  <c r="F19" i="5"/>
  <c r="H21" i="5"/>
  <c r="F17" i="5"/>
</calcChain>
</file>

<file path=xl/sharedStrings.xml><?xml version="1.0" encoding="utf-8"?>
<sst xmlns="http://schemas.openxmlformats.org/spreadsheetml/2006/main" count="30" uniqueCount="23">
  <si>
    <t>C.DUTY</t>
  </si>
  <si>
    <t>SPOT 995</t>
  </si>
  <si>
    <t>SPOT 999</t>
  </si>
  <si>
    <t>Comex 995</t>
  </si>
  <si>
    <t>Comex 999</t>
  </si>
  <si>
    <t>SILVER SPOT</t>
  </si>
  <si>
    <t>SILVER COMEX</t>
  </si>
  <si>
    <t>Premium</t>
  </si>
  <si>
    <t>INTER BANK</t>
  </si>
  <si>
    <t>SPOT COSTING</t>
  </si>
  <si>
    <t>COMEX COSTING</t>
  </si>
  <si>
    <t>FUTURE</t>
  </si>
  <si>
    <t>SPOT-FUTURE</t>
  </si>
  <si>
    <t>COMEX -FUTURE</t>
  </si>
  <si>
    <t>FUTURE -SPOT</t>
  </si>
  <si>
    <t>FUTURE -COMEX</t>
  </si>
  <si>
    <t>SPOT</t>
  </si>
  <si>
    <t>Diff 995/999</t>
  </si>
  <si>
    <t>COMEX</t>
  </si>
  <si>
    <t>SPOT-COMEX</t>
  </si>
  <si>
    <t>Diff 995/995</t>
  </si>
  <si>
    <t>Diff 999/999</t>
  </si>
  <si>
    <t>COMEX-SPOT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</si>
</sst>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1" fillId="7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0" borderId="1" xfId="0" applyFont="1" applyBorder="1"/>
    <xf numFmtId="4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/>
    <xf numFmtId="4" fontId="3" fillId="5" borderId="1" xfId="0" applyNumberFormat="1" applyFont="1" applyFill="1" applyBorder="1" applyAlignment="1">
      <alignment horizontal="center" vertical="center"/>
    </xf>
    <xf numFmtId="4" fontId="3" fillId="3" borderId="1" xfId="0" applyNumberFormat="1" applyFont="1" applyFill="1" applyBorder="1" applyAlignment="1">
      <alignment horizontal="center" vertical="center"/>
    </xf>
    <xf numFmtId="4" fontId="3" fillId="4" borderId="1" xfId="0" applyNumberFormat="1" applyFont="1" applyFill="1" applyBorder="1" applyAlignment="1">
      <alignment horizontal="center" vertical="center"/>
    </xf>
    <xf numFmtId="4" fontId="3" fillId="6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" fontId="3" fillId="2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/>
    <xf numFmtId="0" fontId="1" fillId="7" borderId="1" xfId="0" applyFont="1" applyFill="1" applyBorder="1" applyAlignment="1"/>
    <xf numFmtId="4" fontId="3" fillId="2" borderId="2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4" fontId="1" fillId="7" borderId="1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hecalcify">
      <tp t="e">
        <v>#N/A</v>
        <stp/>
        <stp>SILVERFUTURE_I</stp>
        <stp>Ask</stp>
        <tr r="L15" s="5"/>
        <tr r="J15" s="5"/>
      </tp>
      <tp t="e">
        <v>#N/A</v>
        <stp/>
        <stp>SILVERCOMEX_I</stp>
        <stp>Ask</stp>
        <tr r="L3" s="5"/>
      </tp>
      <tp t="e">
        <v>#N/A</v>
        <stp/>
        <stp>CDUTY</stp>
        <stp>Low</stp>
        <tr r="J11" s="5"/>
        <tr r="L11" s="5"/>
      </tp>
      <tp t="e">
        <v>#N/A</v>
        <stp/>
        <stp>CDUTY</stp>
        <stp>High</stp>
        <tr r="B11" s="5"/>
        <tr r="D11" s="5"/>
        <tr r="F11" s="5"/>
        <tr r="H11" s="5"/>
      </tp>
      <tp t="e">
        <v>#N/A</v>
        <stp/>
        <stp>INRSPOT_I</stp>
        <stp>Ask</stp>
        <tr r="B6" s="5"/>
        <tr r="D6" s="5"/>
        <tr r="J6" s="5"/>
        <tr r="L6" s="5"/>
        <tr r="F6" s="5"/>
        <tr r="H6" s="5"/>
      </tp>
      <tp t="e">
        <v>#N/A</v>
        <stp/>
        <stp>GOLDSPOT_I</stp>
        <stp>Ask</stp>
        <tr r="B3" s="5"/>
        <tr r="D3" s="5"/>
      </tp>
      <tp t="e">
        <v>#N/A</v>
        <stp/>
        <stp>GOLDFUTURE_I</stp>
        <stp>Ask</stp>
        <tr r="B15" s="5"/>
        <tr r="D15" s="5"/>
        <tr r="H15" s="5"/>
        <tr r="F15" s="5"/>
      </tp>
      <tp t="e">
        <v>#N/A</v>
        <stp/>
        <stp>GOLDCOMEX_I</stp>
        <stp>Ask</stp>
        <tr r="F3" s="5"/>
        <tr r="H3" s="5"/>
      </tp>
      <tp t="e">
        <v>#N/A</v>
        <stp/>
        <stp>SILVERSPOT_I</stp>
        <stp>Ask</stp>
        <tr r="J3" s="5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30BD0-08C3-40A7-8B20-5B15A8925595}">
  <sheetPr codeName="Sheet3"/>
  <dimension ref="A1:L26"/>
  <sheetViews>
    <sheetView tabSelected="1" zoomScale="76" zoomScaleNormal="98" workbookViewId="0">
      <selection activeCell="J25" sqref="J25"/>
    </sheetView>
  </sheetViews>
  <sheetFormatPr defaultRowHeight="14.4" x14ac:dyDescent="0.3"/>
  <cols>
    <col min="1" max="1" width="21.33203125" bestFit="1" customWidth="1"/>
    <col min="2" max="2" width="20" bestFit="1" customWidth="1"/>
    <col min="4" max="4" width="19.44140625" bestFit="1" customWidth="1"/>
    <col min="5" max="5" width="23.6640625" bestFit="1" customWidth="1"/>
    <col min="6" max="6" width="19.44140625" bestFit="1" customWidth="1"/>
    <col min="8" max="8" width="20" bestFit="1" customWidth="1"/>
    <col min="9" max="9" width="21" bestFit="1" customWidth="1"/>
    <col min="10" max="10" width="22.109375" bestFit="1" customWidth="1"/>
    <col min="11" max="11" width="23.33203125" bestFit="1" customWidth="1"/>
    <col min="12" max="12" width="24.6640625" bestFit="1" customWidth="1"/>
  </cols>
  <sheetData>
    <row r="1" spans="1:12" ht="18" x14ac:dyDescent="0.35">
      <c r="B1" s="17" t="s">
        <v>1</v>
      </c>
      <c r="C1" s="1"/>
      <c r="D1" s="17" t="s">
        <v>2</v>
      </c>
      <c r="E1" s="1"/>
      <c r="F1" s="17" t="s">
        <v>3</v>
      </c>
      <c r="G1" s="1"/>
      <c r="H1" s="17" t="s">
        <v>4</v>
      </c>
      <c r="I1" s="1"/>
      <c r="J1" s="18" t="s">
        <v>5</v>
      </c>
      <c r="L1" s="18" t="s">
        <v>6</v>
      </c>
    </row>
    <row r="2" spans="1:12" ht="18" x14ac:dyDescent="0.3">
      <c r="B2" s="1"/>
      <c r="C2" s="1"/>
      <c r="D2" s="1"/>
      <c r="E2" s="1"/>
      <c r="F2" s="1"/>
      <c r="G2" s="1"/>
      <c r="H2" s="1"/>
      <c r="I2" s="1"/>
    </row>
    <row r="3" spans="1:12" ht="18" x14ac:dyDescent="0.3">
      <c r="B3" s="1" t="str">
        <f>RTD("thecalcify", ,"GOLDSPOT_I","Ask")</f>
        <v>4207.31</v>
      </c>
      <c r="C3" s="2"/>
      <c r="D3" s="1" t="str">
        <f>RTD("thecalcify", ,"GOLDSPOT_I","Ask")</f>
        <v>4207.31</v>
      </c>
      <c r="E3" s="2"/>
      <c r="F3" s="1" t="str">
        <f>RTD("thecalcify", ,"GOLDCOMEX_I","Ask")</f>
        <v>4235.5</v>
      </c>
      <c r="G3" s="1"/>
      <c r="H3" s="1" t="str">
        <f>RTD("thecalcify", ,"GOLDCOMEX_I","Ask")</f>
        <v>4235.5</v>
      </c>
      <c r="I3" s="1"/>
      <c r="J3" s="1" t="str">
        <f>RTD("thecalcify", ,"SILVERSPOT_I","Ask")</f>
        <v>61.206</v>
      </c>
      <c r="K3" s="1"/>
      <c r="L3" s="1" t="str">
        <f>RTD("thecalcify", ,"SILVERCOMEX_I","Ask")</f>
        <v>61.705</v>
      </c>
    </row>
    <row r="4" spans="1:12" ht="18" x14ac:dyDescent="0.35">
      <c r="A4" s="5" t="s">
        <v>7</v>
      </c>
      <c r="B4" s="2">
        <v>0</v>
      </c>
      <c r="C4" s="2"/>
      <c r="D4" s="2">
        <v>0</v>
      </c>
      <c r="E4" s="2"/>
      <c r="F4" s="2">
        <v>0</v>
      </c>
      <c r="G4" s="2"/>
      <c r="H4" s="2">
        <v>0</v>
      </c>
      <c r="I4" s="1"/>
      <c r="J4" s="2">
        <v>0</v>
      </c>
      <c r="L4" s="2">
        <f>J4</f>
        <v>0</v>
      </c>
    </row>
    <row r="5" spans="1:12" ht="18" x14ac:dyDescent="0.3">
      <c r="B5" s="2">
        <f>SUM(B3+B4)</f>
        <v>4207.3100000000004</v>
      </c>
      <c r="C5" s="2"/>
      <c r="D5" s="2">
        <f>SUM(D3+D4)</f>
        <v>4207.3100000000004</v>
      </c>
      <c r="E5" s="2"/>
      <c r="F5" s="2">
        <f>SUM(F3+F4)</f>
        <v>4235.5</v>
      </c>
      <c r="G5" s="2"/>
      <c r="H5" s="2">
        <f>SUM(H3+H4)</f>
        <v>4235.5</v>
      </c>
      <c r="I5" s="1"/>
      <c r="J5" s="2">
        <f>SUM(J3+J4)</f>
        <v>61.206000000000003</v>
      </c>
      <c r="L5" s="2">
        <f>SUM(L3+L4)</f>
        <v>61.704999999999998</v>
      </c>
    </row>
    <row r="6" spans="1:12" ht="18" x14ac:dyDescent="0.3">
      <c r="B6" s="2" t="str">
        <f>RTD("thecalcify", ,"INRSPOT_I","Ask")</f>
        <v>89.87</v>
      </c>
      <c r="C6" s="2"/>
      <c r="D6" s="2" t="str">
        <f>RTD("thecalcify", ,"INRSPOT_I","Ask")</f>
        <v>89.87</v>
      </c>
      <c r="E6" s="2"/>
      <c r="F6" s="2" t="str">
        <f>RTD("thecalcify", ,"INRSPOT_I","Ask")</f>
        <v>89.87</v>
      </c>
      <c r="G6" s="2"/>
      <c r="H6" s="2" t="str">
        <f>RTD("thecalcify", ,"INRSPOT_I","Ask")</f>
        <v>89.87</v>
      </c>
      <c r="I6" s="1"/>
      <c r="J6" s="2" t="str">
        <f>RTD("thecalcify", ,"INRSPOT_I","Ask")</f>
        <v>89.87</v>
      </c>
      <c r="L6" s="2" t="str">
        <f>RTD("thecalcify", ,"INRSPOT_I","Ask")</f>
        <v>89.87</v>
      </c>
    </row>
    <row r="7" spans="1:12" ht="18" x14ac:dyDescent="0.35">
      <c r="A7" s="5" t="s">
        <v>8</v>
      </c>
      <c r="B7" s="2">
        <v>0</v>
      </c>
      <c r="C7" s="2"/>
      <c r="D7" s="2">
        <v>0</v>
      </c>
      <c r="E7" s="2"/>
      <c r="F7" s="2">
        <v>0</v>
      </c>
      <c r="G7" s="2"/>
      <c r="H7" s="2">
        <f>F7</f>
        <v>0</v>
      </c>
      <c r="I7" s="1"/>
      <c r="J7" s="2">
        <v>0</v>
      </c>
      <c r="L7" s="2">
        <f>J7</f>
        <v>0</v>
      </c>
    </row>
    <row r="8" spans="1:12" ht="18" x14ac:dyDescent="0.3">
      <c r="B8" s="2">
        <f>SUM(B5*(B6+B7))</f>
        <v>378110.94970000006</v>
      </c>
      <c r="C8" s="2"/>
      <c r="D8" s="2">
        <f>SUM(D5*(D6+D7))</f>
        <v>378110.94970000006</v>
      </c>
      <c r="E8" s="2"/>
      <c r="F8" s="2">
        <f>SUM(F5*(F6+F7))</f>
        <v>380644.38500000001</v>
      </c>
      <c r="G8" s="2"/>
      <c r="H8" s="2">
        <f>SUM(H5*(H6+H7))</f>
        <v>380644.38500000001</v>
      </c>
      <c r="I8" s="1"/>
      <c r="J8" s="2">
        <f>SUM(J5*(J6+J7))</f>
        <v>5500.5832200000004</v>
      </c>
      <c r="L8" s="2">
        <f>SUM(L5*(L6+L7))</f>
        <v>5545.4283500000001</v>
      </c>
    </row>
    <row r="9" spans="1:12" ht="18" x14ac:dyDescent="0.3">
      <c r="B9" s="2">
        <v>31.99</v>
      </c>
      <c r="C9" s="2"/>
      <c r="D9" s="2">
        <v>32.15</v>
      </c>
      <c r="E9" s="2"/>
      <c r="F9" s="2">
        <v>31.99</v>
      </c>
      <c r="G9" s="2"/>
      <c r="H9" s="2">
        <v>32.15</v>
      </c>
      <c r="I9" s="2"/>
      <c r="J9" s="2">
        <v>32.15</v>
      </c>
      <c r="L9" s="2">
        <v>32.15</v>
      </c>
    </row>
    <row r="10" spans="1:12" ht="18" x14ac:dyDescent="0.3">
      <c r="B10" s="2">
        <f>SUM(B8*B9)</f>
        <v>12095769.280903</v>
      </c>
      <c r="C10" s="2"/>
      <c r="D10" s="2">
        <f>SUM(D8*D9)</f>
        <v>12156267.032855</v>
      </c>
      <c r="E10" s="2"/>
      <c r="F10" s="2">
        <f>SUM(F8*F9)</f>
        <v>12176813.876149999</v>
      </c>
      <c r="G10" s="2"/>
      <c r="H10" s="2">
        <f>SUM(H8*H9)</f>
        <v>12237716.97775</v>
      </c>
      <c r="I10" s="1"/>
      <c r="J10" s="2">
        <f>SUM(J8*J9)</f>
        <v>176843.750523</v>
      </c>
      <c r="L10" s="2">
        <f>SUM(L8*L9)</f>
        <v>178285.52145249999</v>
      </c>
    </row>
    <row r="11" spans="1:12" ht="18" x14ac:dyDescent="0.35">
      <c r="A11" s="5" t="s">
        <v>0</v>
      </c>
      <c r="B11" s="1" t="str">
        <f>RTD("thecalcify", ,"CDUTY","High")</f>
        <v>731860.8</v>
      </c>
      <c r="C11" s="2"/>
      <c r="D11" s="1" t="str">
        <f>RTD("thecalcify", ,"CDUTY","High")</f>
        <v>731860.8</v>
      </c>
      <c r="E11" s="2"/>
      <c r="F11" s="1" t="str">
        <f>RTD("thecalcify", ,"CDUTY","High")</f>
        <v>731860.8</v>
      </c>
      <c r="G11" s="2"/>
      <c r="H11" s="1" t="str">
        <f>RTD("thecalcify", ,"CDUTY","High")</f>
        <v>731860.8</v>
      </c>
      <c r="I11" s="1"/>
      <c r="J11" s="1" t="str">
        <f>RTD("thecalcify", ,"CDUTY","Low")</f>
        <v>9438.59</v>
      </c>
      <c r="K11" s="1"/>
      <c r="L11" s="1" t="str">
        <f>RTD("thecalcify", ,"CDUTY","Low")</f>
        <v>9438.59</v>
      </c>
    </row>
    <row r="12" spans="1:12" ht="18" x14ac:dyDescent="0.3">
      <c r="B12" s="2">
        <f>SUM(B10+B11)</f>
        <v>12827630.080903001</v>
      </c>
      <c r="C12" s="2"/>
      <c r="D12" s="2">
        <f>SUM(D10+D11)</f>
        <v>12888127.832855001</v>
      </c>
      <c r="E12" s="2"/>
      <c r="F12" s="2">
        <f>SUM(F10+F11)</f>
        <v>12908674.67615</v>
      </c>
      <c r="G12" s="2"/>
      <c r="H12" s="2">
        <f>SUM(H10+H11)</f>
        <v>12969577.77775</v>
      </c>
      <c r="I12" s="1"/>
      <c r="J12" s="2">
        <f>SUM(J10+J11)</f>
        <v>186282.34052299999</v>
      </c>
      <c r="L12" s="2">
        <f>SUM(L10+L11)</f>
        <v>187724.11145249999</v>
      </c>
    </row>
    <row r="13" spans="1:12" ht="18" x14ac:dyDescent="0.3">
      <c r="B13" s="2">
        <v>100</v>
      </c>
      <c r="C13" s="2"/>
      <c r="D13" s="2">
        <v>100</v>
      </c>
      <c r="E13" s="2"/>
      <c r="F13" s="2">
        <v>100</v>
      </c>
      <c r="G13" s="2"/>
      <c r="H13" s="2">
        <v>100</v>
      </c>
      <c r="I13" s="1"/>
    </row>
    <row r="14" spans="1:12" ht="18" x14ac:dyDescent="0.35">
      <c r="A14" s="5" t="s">
        <v>9</v>
      </c>
      <c r="B14" s="21">
        <f>SUM(B12/B13)</f>
        <v>128276.30080903001</v>
      </c>
      <c r="C14" s="2"/>
      <c r="D14" s="20">
        <f>SUM(D12/D13)</f>
        <v>128881.27832855</v>
      </c>
      <c r="E14" s="22" t="s">
        <v>10</v>
      </c>
      <c r="F14" s="21">
        <f>SUM(F12/F13)</f>
        <v>129086.74676149999</v>
      </c>
      <c r="G14" s="2"/>
      <c r="H14" s="16">
        <f>SUM(H12/H13)</f>
        <v>129695.7777775</v>
      </c>
      <c r="I14" s="1"/>
      <c r="J14" s="16">
        <f>J12</f>
        <v>186282.34052299999</v>
      </c>
      <c r="K14" s="1"/>
      <c r="L14" s="16">
        <f>L12</f>
        <v>187724.11145249999</v>
      </c>
    </row>
    <row r="15" spans="1:12" ht="21" x14ac:dyDescent="0.35">
      <c r="A15" s="5" t="s">
        <v>11</v>
      </c>
      <c r="B15" s="3" t="str">
        <f>RTD("thecalcify", ,"GOLDFUTURE_I","Ask")</f>
        <v>130140</v>
      </c>
      <c r="C15" s="4"/>
      <c r="D15" s="3" t="str">
        <f>RTD("thecalcify", ,"GOLDFUTURE_I","Ask")</f>
        <v>130140</v>
      </c>
      <c r="E15" s="4"/>
      <c r="F15" s="3" t="str">
        <f>RTD("thecalcify", ,"GOLDFUTURE_I","Ask")</f>
        <v>130140</v>
      </c>
      <c r="G15" s="4"/>
      <c r="H15" s="3" t="str">
        <f>RTD("thecalcify", ,"GOLDFUTURE_I","Ask")</f>
        <v>130140</v>
      </c>
      <c r="I15" s="1"/>
      <c r="J15" s="1" t="str">
        <f>RTD("thecalcify", ,"SILVERFUTURE_I","Ask")</f>
        <v>190550</v>
      </c>
      <c r="K15" s="1"/>
      <c r="L15" s="1" t="str">
        <f>RTD("thecalcify", ,"SILVERFUTURE_I","Ask")</f>
        <v>190550</v>
      </c>
    </row>
    <row r="16" spans="1:12" ht="18" x14ac:dyDescent="0.3">
      <c r="B16" s="2"/>
      <c r="C16" s="2"/>
      <c r="D16" s="2"/>
      <c r="E16" s="2"/>
      <c r="F16" s="2"/>
      <c r="G16" s="2"/>
      <c r="H16" s="2"/>
      <c r="I16" s="1"/>
    </row>
    <row r="17" spans="1:12" ht="18" x14ac:dyDescent="0.35">
      <c r="A17" s="5" t="s">
        <v>12</v>
      </c>
      <c r="B17" s="11">
        <f>SUM(B14-B15)</f>
        <v>-1863.6991909699864</v>
      </c>
      <c r="C17" s="6"/>
      <c r="D17" s="11">
        <f>SUM(D14-D15)</f>
        <v>-1258.7216714499955</v>
      </c>
      <c r="E17" s="19" t="s">
        <v>13</v>
      </c>
      <c r="F17" s="11">
        <f>SUM(F14-F15)</f>
        <v>-1053.2532385000086</v>
      </c>
      <c r="G17" s="6"/>
      <c r="H17" s="11">
        <f>SUM(H14-H15)</f>
        <v>-444.2222225000005</v>
      </c>
      <c r="I17" s="5" t="s">
        <v>12</v>
      </c>
      <c r="J17" s="11">
        <f>SUM(J14-J15)</f>
        <v>-4267.6594770000083</v>
      </c>
      <c r="K17" s="7" t="s">
        <v>13</v>
      </c>
      <c r="L17" s="11">
        <f>SUM(L14-L15)</f>
        <v>-2825.8885475000134</v>
      </c>
    </row>
    <row r="18" spans="1:12" ht="18" x14ac:dyDescent="0.35">
      <c r="A18" s="8"/>
      <c r="B18" s="9"/>
      <c r="C18" s="6"/>
      <c r="D18" s="9"/>
      <c r="E18" s="6"/>
      <c r="F18" s="9"/>
      <c r="G18" s="6"/>
      <c r="H18" s="9"/>
      <c r="I18" s="8"/>
      <c r="J18" s="10"/>
      <c r="K18" s="8"/>
      <c r="L18" s="9"/>
    </row>
    <row r="19" spans="1:12" ht="18" x14ac:dyDescent="0.35">
      <c r="A19" s="5" t="s">
        <v>14</v>
      </c>
      <c r="B19" s="11">
        <f>SUM(B15-B14)</f>
        <v>1863.6991909699864</v>
      </c>
      <c r="C19" s="6"/>
      <c r="D19" s="11">
        <f>SUM(D15-D14)</f>
        <v>1258.7216714499955</v>
      </c>
      <c r="E19" s="5" t="s">
        <v>15</v>
      </c>
      <c r="F19" s="11">
        <f>SUM(F15-F14)</f>
        <v>1053.2532385000086</v>
      </c>
      <c r="G19" s="6"/>
      <c r="H19" s="11">
        <f>SUM(H15-H14)</f>
        <v>444.2222225000005</v>
      </c>
      <c r="I19" s="5" t="s">
        <v>14</v>
      </c>
      <c r="J19" s="11">
        <f>SUM(J15-J14)</f>
        <v>4267.6594770000083</v>
      </c>
      <c r="K19" s="5" t="s">
        <v>15</v>
      </c>
      <c r="L19" s="11">
        <f>SUM(L15-L14)</f>
        <v>2825.8885475000134</v>
      </c>
    </row>
    <row r="20" spans="1:12" ht="18" x14ac:dyDescent="0.35">
      <c r="A20" s="8"/>
      <c r="B20" s="8"/>
      <c r="C20" s="8"/>
      <c r="D20" s="8"/>
      <c r="E20" s="8"/>
      <c r="F20" s="8"/>
      <c r="G20" s="8"/>
      <c r="H20" s="10"/>
    </row>
    <row r="21" spans="1:12" ht="18" x14ac:dyDescent="0.35">
      <c r="A21" s="5" t="s">
        <v>16</v>
      </c>
      <c r="B21" s="5" t="s">
        <v>17</v>
      </c>
      <c r="C21" s="8"/>
      <c r="D21" s="12">
        <f>SUM(B14-D14)</f>
        <v>-604.97751951999089</v>
      </c>
      <c r="E21" s="5" t="s">
        <v>18</v>
      </c>
      <c r="F21" s="5" t="s">
        <v>17</v>
      </c>
      <c r="G21" s="8"/>
      <c r="H21" s="12">
        <f>SUM(F14-H14)</f>
        <v>-609.03101600000809</v>
      </c>
    </row>
    <row r="22" spans="1:12" ht="18" x14ac:dyDescent="0.35">
      <c r="A22" s="8"/>
      <c r="B22" s="8"/>
      <c r="C22" s="8"/>
      <c r="D22" s="9"/>
      <c r="E22" s="8"/>
      <c r="F22" s="8"/>
      <c r="G22" s="8"/>
      <c r="H22" s="9"/>
    </row>
    <row r="23" spans="1:12" ht="18" x14ac:dyDescent="0.35">
      <c r="A23" s="5" t="s">
        <v>19</v>
      </c>
      <c r="B23" s="5" t="s">
        <v>20</v>
      </c>
      <c r="C23" s="8"/>
      <c r="D23" s="13">
        <f>SUM(B14-F14)</f>
        <v>-810.44595246997778</v>
      </c>
      <c r="E23" s="8"/>
      <c r="F23" s="5" t="s">
        <v>21</v>
      </c>
      <c r="G23" s="8"/>
      <c r="H23" s="13">
        <f>SUM(D14-H14)</f>
        <v>-814.49944894999499</v>
      </c>
      <c r="L23" s="13">
        <f>SUM(J14-L14)</f>
        <v>-1441.770929499995</v>
      </c>
    </row>
    <row r="24" spans="1:12" ht="18" x14ac:dyDescent="0.35">
      <c r="A24" s="8"/>
      <c r="B24" s="8"/>
      <c r="C24" s="8"/>
      <c r="D24" s="9"/>
      <c r="E24" s="8"/>
      <c r="F24" s="8"/>
      <c r="G24" s="10"/>
      <c r="H24" s="6"/>
      <c r="L24" s="1"/>
    </row>
    <row r="25" spans="1:12" ht="18" x14ac:dyDescent="0.35">
      <c r="A25" s="5" t="s">
        <v>22</v>
      </c>
      <c r="B25" s="5" t="s">
        <v>20</v>
      </c>
      <c r="C25" s="8"/>
      <c r="D25" s="14">
        <f>SUM(F14-B14)</f>
        <v>810.44595246997778</v>
      </c>
      <c r="E25" s="8"/>
      <c r="F25" s="5" t="s">
        <v>21</v>
      </c>
      <c r="G25" s="8"/>
      <c r="H25" s="13">
        <f>SUM(H14-D14)</f>
        <v>814.49944894999499</v>
      </c>
      <c r="L25" s="14">
        <f>SUM(L14-J14)</f>
        <v>1441.770929499995</v>
      </c>
    </row>
    <row r="26" spans="1:12" ht="18" x14ac:dyDescent="0.3">
      <c r="H26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Cost.Cal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thecalcify</dc:creator>
  <cp:lastModifiedBy>Jinesh Bakhai</cp:lastModifiedBy>
  <dcterms:created xsi:type="dcterms:W3CDTF">2025-09-17T09:26:27Z</dcterms:created>
  <dcterms:modified xsi:type="dcterms:W3CDTF">2025-12-11T06:24:26Z</dcterms:modified>
</cp:coreProperties>
</file>